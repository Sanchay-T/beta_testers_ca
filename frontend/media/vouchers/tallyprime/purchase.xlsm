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OOMI\Desktop\Tally updated vouchers\"/>
    </mc:Choice>
  </mc:AlternateContent>
  <xr:revisionPtr revIDLastSave="0" documentId="13_ncr:1_{3B12F80A-FA5F-4E2F-A95C-C27245049F7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urchase" sheetId="1" r:id="rId1"/>
    <sheet name="Ledgers" sheetId="3" r:id="rId2"/>
    <sheet name="GroupNames" sheetId="4" r:id="rId3"/>
    <sheet name="HiddenSheet" sheetId="6" state="veryHidden" r:id="rId4"/>
  </sheets>
  <functionGroups builtInGroupCount="19"/>
  <definedNames>
    <definedName name="_xlnm._FilterDatabase" localSheetId="1" hidden="1">Ledgers!$A$2:$F$82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" l="1"/>
  <c r="R4" i="1"/>
  <c r="R3" i="1"/>
</calcChain>
</file>

<file path=xl/sharedStrings.xml><?xml version="1.0" encoding="utf-8"?>
<sst xmlns="http://schemas.openxmlformats.org/spreadsheetml/2006/main" count="205" uniqueCount="125">
  <si>
    <t>CGST Amount</t>
  </si>
  <si>
    <t>CGST %</t>
  </si>
  <si>
    <t>SGST/UTGST %</t>
  </si>
  <si>
    <t>SGST/UTGST Amount</t>
  </si>
  <si>
    <t>Naration</t>
  </si>
  <si>
    <t>IGST Amount</t>
  </si>
  <si>
    <t>Supplier Invoice Date</t>
  </si>
  <si>
    <t>Invoice Number</t>
  </si>
  <si>
    <t>IGST%</t>
  </si>
  <si>
    <t>Ledger Name</t>
  </si>
  <si>
    <t>Ledger Group</t>
  </si>
  <si>
    <t>Profit &amp;amp; Loss A/c</t>
  </si>
  <si>
    <t>Sundry Debtors</t>
  </si>
  <si>
    <t>Cash-in-Hand</t>
  </si>
  <si>
    <t>Duties &amp;amp; Taxes</t>
  </si>
  <si>
    <t>Capital Account</t>
  </si>
  <si>
    <t>Bank Accounts</t>
  </si>
  <si>
    <t>GST Number</t>
  </si>
  <si>
    <t>State</t>
  </si>
  <si>
    <t>Country</t>
  </si>
  <si>
    <t>Opening Balance</t>
  </si>
  <si>
    <t>Branch / Divisions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</si>
  <si>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</si>
  <si>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</si>
  <si>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</si>
  <si>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</si>
  <si>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</si>
  <si>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</si>
  <si>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</si>
  <si>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</si>
  <si>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</si>
  <si>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</si>
  <si>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</si>
  <si>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</si>
  <si>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</si>
  <si>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Bank OD A/c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</si>
  <si>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</si>
  <si>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</si>
  <si>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</si>
  <si>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</si>
  <si>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</si>
  <si>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</si>
  <si>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</si>
  <si>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</si>
  <si>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</si>
  <si>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</si>
  <si>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</si>
  <si>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</si>
  <si>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r>
      <t xml:space="preserve">Accounting Date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</si>
  <si>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Supplier Name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</si>
  <si>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Purchase Ledger / Expense Head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</si>
  <si>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</si>
  <si>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Total Billing Amount </t>
    </r>
    <r>
      <rPr>
        <b/>
        <sz val="11"/>
        <color rgb="FFFFFF00"/>
        <rFont val="Calibri"/>
        <family val="2"/>
        <scheme val="minor"/>
      </rPr>
      <t>*</t>
    </r>
  </si>
  <si>
    <t>purchase</t>
  </si>
  <si>
    <t>Purchase Ledger</t>
  </si>
  <si>
    <t>Payment</t>
  </si>
  <si>
    <t>Success</t>
  </si>
  <si>
    <t>Voucher Number *</t>
  </si>
  <si>
    <t>Cgst Ledger</t>
  </si>
  <si>
    <t>Sgst Ledger</t>
  </si>
  <si>
    <t>Igst Ledger</t>
  </si>
  <si>
    <t>Demo</t>
  </si>
  <si>
    <t>Profit &amp; Loss A/c</t>
  </si>
  <si>
    <t>Bank</t>
  </si>
  <si>
    <t>Bank Charges</t>
  </si>
  <si>
    <t>Bank Interest Received</t>
  </si>
  <si>
    <t>bhaktidarshanbhatt</t>
  </si>
  <si>
    <t>Cash</t>
  </si>
  <si>
    <t>Cash Deposits</t>
  </si>
  <si>
    <t>cashfree</t>
  </si>
  <si>
    <t>Cash Withdrawal</t>
  </si>
  <si>
    <t>CGST</t>
  </si>
  <si>
    <t>Duties &amp; Taxes</t>
  </si>
  <si>
    <t>cgst@18</t>
  </si>
  <si>
    <t>chyavanrajanikantb</t>
  </si>
  <si>
    <t>chyavanrajanikantbhatt</t>
  </si>
  <si>
    <t>Credit Card Payment</t>
  </si>
  <si>
    <t>darshanrajanikantb</t>
  </si>
  <si>
    <t>deepakrsinghania</t>
  </si>
  <si>
    <t>finwizzholdings</t>
  </si>
  <si>
    <t>finzoomersservices</t>
  </si>
  <si>
    <t>googlepay</t>
  </si>
  <si>
    <t>gsrtc</t>
  </si>
  <si>
    <t>gujaratstateroadt</t>
  </si>
  <si>
    <t>IGST</t>
  </si>
  <si>
    <t>Income Tax Refund</t>
  </si>
  <si>
    <t>Investment</t>
  </si>
  <si>
    <t>Loan</t>
  </si>
  <si>
    <t>moneymanagers</t>
  </si>
  <si>
    <t>mrparthchyavanbhatt</t>
  </si>
  <si>
    <t>nsdldatabasemanage</t>
  </si>
  <si>
    <t>omsolutions</t>
  </si>
  <si>
    <t>Online Shopping</t>
  </si>
  <si>
    <t>paritapandya</t>
  </si>
  <si>
    <t>parthchyavanbhatt</t>
  </si>
  <si>
    <t>Poojan</t>
  </si>
  <si>
    <t>08AABCS7280C1ZF</t>
  </si>
  <si>
    <t>Maharashtra</t>
  </si>
  <si>
    <t>India</t>
  </si>
  <si>
    <t>pushpalatabalchandr</t>
  </si>
  <si>
    <t>Refund/Reversal</t>
  </si>
  <si>
    <t>Rent Paid</t>
  </si>
  <si>
    <t>rzpxprivatelimited</t>
  </si>
  <si>
    <t>rzpxpvtltdnodala</t>
  </si>
  <si>
    <t>sagarajayvyas</t>
  </si>
  <si>
    <t>Salary Received</t>
  </si>
  <si>
    <t>Sales</t>
  </si>
  <si>
    <t>SGST</t>
  </si>
  <si>
    <t>Suspense</t>
  </si>
  <si>
    <t>UPI-Dr</t>
  </si>
  <si>
    <t>Utility Bills</t>
  </si>
  <si>
    <t>vaishalichyavanbha</t>
  </si>
  <si>
    <t>xxxxxx</t>
  </si>
  <si>
    <t>zerodhabrokinglimin123221180502628</t>
  </si>
  <si>
    <t>zerodhabrokinglimin151221243025092</t>
  </si>
  <si>
    <t>zerodhabrokinglimin155221252847581</t>
  </si>
  <si>
    <t>zerodhabrokinglimin183221317583431</t>
  </si>
  <si>
    <t>zerodhabrokinglimitednseclient</t>
  </si>
  <si>
    <t>zerodhabrokinglimiyesb22145264511</t>
  </si>
  <si>
    <t>zerodhabrokinglimiyesb22462227329</t>
  </si>
  <si>
    <t>zerodhabrokinglimiyesb30053472853</t>
  </si>
  <si>
    <t>Igst@18</t>
  </si>
  <si>
    <t>Sgst@18</t>
  </si>
  <si>
    <t>poojan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</si>
  <si>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Do Not inclue % symbol in CGST%,SGST% and IGST% columns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</si>
</sst>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0"/>
      <name val="Consolas"/>
      <family val="3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0EE9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4" fillId="0" borderId="0" xfId="0" applyFont="1"/>
    <xf numFmtId="0" fontId="5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 applyAlignment="1">
      <alignment horizontal="center"/>
    </xf>
    <xf numFmtId="0" fontId="11" fillId="0" borderId="0" xfId="0" applyFont="1"/>
    <xf numFmtId="0" fontId="0" fillId="4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3" borderId="0" xfId="0" applyFont="1" applyFill="1" applyAlignment="1">
      <alignment horizontal="center"/>
    </xf>
    <xf numFmtId="0" fontId="10" fillId="3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15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4" borderId="0" xfId="0" applyNumberFormat="1" applyFill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0" fillId="2" borderId="0" xfId="0" applyNumberFormat="1" applyFill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0" fontId="0" fillId="4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123825</xdr:rowOff>
        </xdr:from>
        <xdr:to>
          <xdr:col>4</xdr:col>
          <xdr:colOff>133350</xdr:colOff>
          <xdr:row>0</xdr:row>
          <xdr:rowOff>809625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60810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0"/>
  <sheetViews>
    <sheetView tabSelected="1" topLeftCell="C1" zoomScale="92" workbookViewId="0">
      <selection activeCell="C13" sqref="C13"/>
    </sheetView>
  </sheetViews>
  <sheetFormatPr defaultRowHeight="15" x14ac:dyDescent="0.25"/>
  <cols>
    <col min="1" max="1" width="16.28515625" style="5" bestFit="1" customWidth="1"/>
    <col min="2" max="2" width="17" style="5" bestFit="1" customWidth="1"/>
    <col min="3" max="3" width="20.140625" style="5" bestFit="1" customWidth="1"/>
    <col min="4" max="4" width="15.28515625" style="5" bestFit="1" customWidth="1"/>
    <col min="5" max="5" width="17.85546875" style="5" bestFit="1" customWidth="1"/>
    <col min="6" max="6" width="15.7109375" style="5" bestFit="1" customWidth="1"/>
    <col min="7" max="7" width="31.7109375" style="5" bestFit="1" customWidth="1"/>
    <col min="8" max="8" width="15" style="5" bestFit="1" customWidth="1"/>
    <col min="9" max="9" width="11.140625" style="5" bestFit="1" customWidth="1"/>
    <col min="10" max="10" width="8.42578125" style="5" bestFit="1" customWidth="1"/>
    <col min="11" max="11" width="13.28515625" style="5" bestFit="1" customWidth="1"/>
    <col min="12" max="12" width="11" style="5" bestFit="1" customWidth="1"/>
    <col min="13" max="13" width="14.85546875" style="5" bestFit="1" customWidth="1"/>
    <col min="14" max="14" width="20" style="5" bestFit="1" customWidth="1"/>
    <col min="15" max="15" width="10.5703125" style="5" bestFit="1" customWidth="1"/>
    <col min="16" max="16" width="8.7109375" style="30" customWidth="1"/>
    <col min="17" max="17" width="12.5703125" style="5" bestFit="1" customWidth="1"/>
    <col min="18" max="18" width="20.7109375" style="5" bestFit="1" customWidth="1"/>
    <col min="19" max="19" width="8.7109375" style="5" bestFit="1" customWidth="1"/>
    <col min="20" max="20" width="8.42578125" style="5" customWidth="1"/>
    <col min="21" max="21" width="10" style="5" bestFit="1" customWidth="1"/>
    <col min="22" max="31" width="9.140625" style="5"/>
    <col min="32" max="32" width="11.85546875" style="5" bestFit="1" customWidth="1"/>
    <col min="33" max="16384" width="9.140625" style="5"/>
  </cols>
  <sheetData>
    <row r="1" spans="1:20" s="4" customFormat="1" ht="72" customHeight="1" x14ac:dyDescent="0.25">
      <c r="F1" s="25" t="s">
        <v>124</v>
      </c>
      <c r="G1" s="25"/>
      <c r="H1" s="25"/>
      <c r="I1" s="24"/>
      <c r="J1" s="24"/>
      <c r="K1" s="24"/>
      <c r="L1" s="24"/>
      <c r="M1" s="24"/>
      <c r="N1" s="24"/>
      <c r="O1" s="24"/>
      <c r="P1" s="26"/>
    </row>
    <row r="2" spans="1:20" s="17" customFormat="1" ht="15" customHeight="1" x14ac:dyDescent="0.25">
      <c r="A2" s="15" t="s">
        <v>45</v>
      </c>
      <c r="B2" s="9" t="s">
        <v>48</v>
      </c>
      <c r="C2" s="9" t="s">
        <v>6</v>
      </c>
      <c r="D2" s="9" t="s">
        <v>7</v>
      </c>
      <c r="E2" s="9" t="s">
        <v>57</v>
      </c>
      <c r="F2" s="9" t="s">
        <v>49</v>
      </c>
      <c r="G2" s="9" t="s">
        <v>50</v>
      </c>
      <c r="H2" s="9" t="s">
        <v>51</v>
      </c>
      <c r="I2" s="9" t="s">
        <v>58</v>
      </c>
      <c r="J2" s="9" t="s">
        <v>1</v>
      </c>
      <c r="K2" s="9" t="s">
        <v>0</v>
      </c>
      <c r="L2" s="9" t="s">
        <v>59</v>
      </c>
      <c r="M2" s="16" t="s">
        <v>2</v>
      </c>
      <c r="N2" s="9" t="s">
        <v>3</v>
      </c>
      <c r="O2" s="9" t="s">
        <v>60</v>
      </c>
      <c r="P2" s="27" t="s">
        <v>8</v>
      </c>
      <c r="Q2" s="9" t="s">
        <v>5</v>
      </c>
      <c r="R2" s="9" t="s">
        <v>52</v>
      </c>
      <c r="S2" s="9" t="s">
        <v>4</v>
      </c>
      <c r="T2" s="9" t="s">
        <v>46</v>
      </c>
    </row>
    <row r="3" spans="1:20" x14ac:dyDescent="0.25">
      <c r="A3" s="18" t="s">
        <v>61</v>
      </c>
      <c r="B3" s="19">
        <v>45383</v>
      </c>
      <c r="C3" s="18"/>
      <c r="D3" s="20">
        <v>123</v>
      </c>
      <c r="E3" s="20">
        <v>2</v>
      </c>
      <c r="F3" s="20" t="s">
        <v>55</v>
      </c>
      <c r="G3" s="20" t="s">
        <v>54</v>
      </c>
      <c r="H3" s="20">
        <v>100</v>
      </c>
      <c r="I3" s="11" t="s">
        <v>73</v>
      </c>
      <c r="J3" s="21">
        <v>0.02</v>
      </c>
      <c r="K3" s="20">
        <v>9</v>
      </c>
      <c r="L3" s="11" t="s">
        <v>73</v>
      </c>
      <c r="M3" s="28">
        <v>2</v>
      </c>
      <c r="N3" s="20">
        <v>9</v>
      </c>
      <c r="O3" s="11" t="s">
        <v>73</v>
      </c>
      <c r="P3" s="28">
        <v>2</v>
      </c>
      <c r="Q3" s="20">
        <v>9</v>
      </c>
      <c r="R3" s="12">
        <f>H3+K3+N3+Q3</f>
        <v>127</v>
      </c>
      <c r="S3" s="18" t="s">
        <v>123</v>
      </c>
      <c r="T3" s="13" t="s">
        <v>56</v>
      </c>
    </row>
    <row r="4" spans="1:20" x14ac:dyDescent="0.25">
      <c r="A4" s="18" t="s">
        <v>61</v>
      </c>
      <c r="B4" s="19">
        <v>45383</v>
      </c>
      <c r="C4" s="18"/>
      <c r="D4" s="20">
        <v>123</v>
      </c>
      <c r="E4" s="20">
        <v>3</v>
      </c>
      <c r="F4" s="20" t="s">
        <v>55</v>
      </c>
      <c r="G4" s="20" t="s">
        <v>54</v>
      </c>
      <c r="H4" s="20">
        <v>100</v>
      </c>
      <c r="I4" s="11" t="s">
        <v>73</v>
      </c>
      <c r="J4" s="28">
        <v>3.5</v>
      </c>
      <c r="K4" s="20">
        <v>9</v>
      </c>
      <c r="L4" s="11" t="s">
        <v>73</v>
      </c>
      <c r="M4" s="28">
        <v>3</v>
      </c>
      <c r="N4" s="20">
        <v>9</v>
      </c>
      <c r="O4" s="11" t="s">
        <v>73</v>
      </c>
      <c r="P4" s="28">
        <v>3</v>
      </c>
      <c r="Q4" s="20">
        <v>9</v>
      </c>
      <c r="R4" s="12">
        <f>H4+K4+N4+Q4</f>
        <v>127</v>
      </c>
      <c r="S4" s="18" t="s">
        <v>123</v>
      </c>
      <c r="T4" s="13" t="s">
        <v>56</v>
      </c>
    </row>
    <row r="5" spans="1:20" x14ac:dyDescent="0.25">
      <c r="A5" s="18" t="s">
        <v>61</v>
      </c>
      <c r="B5" s="19">
        <v>45383</v>
      </c>
      <c r="C5" s="18"/>
      <c r="D5" s="20">
        <v>123</v>
      </c>
      <c r="E5" s="20">
        <v>4</v>
      </c>
      <c r="F5" s="20" t="s">
        <v>55</v>
      </c>
      <c r="G5" s="20" t="s">
        <v>54</v>
      </c>
      <c r="H5" s="20">
        <v>100</v>
      </c>
      <c r="I5" s="11" t="s">
        <v>73</v>
      </c>
      <c r="J5" s="28">
        <v>4</v>
      </c>
      <c r="K5" s="20">
        <v>9</v>
      </c>
      <c r="L5" s="11" t="s">
        <v>73</v>
      </c>
      <c r="M5" s="28">
        <v>4</v>
      </c>
      <c r="N5" s="20">
        <v>9</v>
      </c>
      <c r="O5" s="11" t="s">
        <v>73</v>
      </c>
      <c r="P5" s="28">
        <v>4</v>
      </c>
      <c r="Q5" s="20">
        <v>9</v>
      </c>
      <c r="R5" s="12">
        <f>H5+K5+N5+Q5</f>
        <v>127</v>
      </c>
      <c r="S5" s="18" t="s">
        <v>123</v>
      </c>
      <c r="T5" s="13" t="s">
        <v>56</v>
      </c>
    </row>
    <row r="6" spans="1:20" x14ac:dyDescent="0.25">
      <c r="B6" s="22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9"/>
      <c r="Q6" s="23"/>
      <c r="R6" s="3"/>
      <c r="S6" s="23"/>
      <c r="T6" s="14"/>
    </row>
    <row r="7" spans="1:20" x14ac:dyDescent="0.25">
      <c r="B7" s="22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9"/>
      <c r="Q7" s="23"/>
      <c r="R7" s="3"/>
      <c r="T7" s="14"/>
    </row>
    <row r="8" spans="1:20" x14ac:dyDescent="0.25">
      <c r="B8" s="22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9"/>
      <c r="Q8" s="23"/>
      <c r="R8" s="3"/>
      <c r="T8" s="14"/>
    </row>
    <row r="9" spans="1:20" x14ac:dyDescent="0.25">
      <c r="B9" s="22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9"/>
      <c r="Q9" s="23"/>
      <c r="R9" s="3"/>
      <c r="T9" s="14"/>
    </row>
    <row r="10" spans="1:20" x14ac:dyDescent="0.25">
      <c r="B10" s="22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9"/>
      <c r="Q10" s="23"/>
      <c r="R10" s="3"/>
    </row>
    <row r="11" spans="1:20" x14ac:dyDescent="0.25">
      <c r="B11" s="22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9"/>
      <c r="Q11" s="23"/>
      <c r="R11" s="3"/>
    </row>
    <row r="12" spans="1:20" x14ac:dyDescent="0.25">
      <c r="B12" s="22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9"/>
      <c r="Q12" s="23"/>
      <c r="R12" s="3"/>
    </row>
    <row r="13" spans="1:20" x14ac:dyDescent="0.25">
      <c r="B13" s="22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9"/>
      <c r="Q13" s="23"/>
      <c r="R13" s="3"/>
    </row>
    <row r="14" spans="1:20" x14ac:dyDescent="0.25">
      <c r="B14" s="22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9"/>
      <c r="Q14" s="23"/>
      <c r="R14" s="3"/>
    </row>
    <row r="15" spans="1:20" x14ac:dyDescent="0.25">
      <c r="B15" s="22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9"/>
      <c r="Q15" s="23"/>
      <c r="R15" s="3"/>
    </row>
    <row r="16" spans="1:20" x14ac:dyDescent="0.25">
      <c r="B16" s="22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9"/>
      <c r="Q16" s="23"/>
      <c r="R16" s="3"/>
    </row>
    <row r="17" spans="2:18" x14ac:dyDescent="0.25">
      <c r="B17" s="22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9"/>
      <c r="Q17" s="23"/>
      <c r="R17" s="3"/>
    </row>
    <row r="18" spans="2:18" x14ac:dyDescent="0.25">
      <c r="B18" s="22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9"/>
      <c r="Q18" s="23"/>
      <c r="R18" s="3"/>
    </row>
    <row r="19" spans="2:18" x14ac:dyDescent="0.25">
      <c r="B19" s="22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9"/>
      <c r="Q19" s="23"/>
      <c r="R19" s="3"/>
    </row>
    <row r="20" spans="2:18" x14ac:dyDescent="0.25">
      <c r="B20" s="22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9"/>
      <c r="Q20" s="23"/>
      <c r="R20" s="3"/>
    </row>
    <row r="21" spans="2:18" x14ac:dyDescent="0.25">
      <c r="B21" s="22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9"/>
      <c r="Q21" s="23"/>
      <c r="R21" s="3"/>
    </row>
    <row r="22" spans="2:18" x14ac:dyDescent="0.25">
      <c r="B22" s="22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9"/>
      <c r="Q22" s="23"/>
      <c r="R22" s="3"/>
    </row>
    <row r="23" spans="2:18" x14ac:dyDescent="0.25">
      <c r="B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9"/>
      <c r="Q23" s="23"/>
      <c r="R23" s="3"/>
    </row>
    <row r="24" spans="2:18" x14ac:dyDescent="0.25">
      <c r="B24" s="22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9"/>
      <c r="Q24" s="23"/>
      <c r="R24" s="3"/>
    </row>
    <row r="25" spans="2:18" x14ac:dyDescent="0.25">
      <c r="B25" s="22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9"/>
      <c r="Q25" s="23"/>
      <c r="R25" s="3"/>
    </row>
    <row r="26" spans="2:18" x14ac:dyDescent="0.25">
      <c r="B26" s="22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9"/>
      <c r="Q26" s="23"/>
      <c r="R26" s="3"/>
    </row>
    <row r="27" spans="2:18" x14ac:dyDescent="0.25">
      <c r="B27" s="22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9"/>
      <c r="Q27" s="23"/>
      <c r="R27" s="3"/>
    </row>
    <row r="28" spans="2:18" x14ac:dyDescent="0.25">
      <c r="B28" s="22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9"/>
      <c r="Q28" s="23"/>
      <c r="R28" s="3"/>
    </row>
    <row r="29" spans="2:18" x14ac:dyDescent="0.25">
      <c r="B29" s="22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9"/>
      <c r="Q29" s="23"/>
      <c r="R29" s="3"/>
    </row>
    <row r="30" spans="2:18" x14ac:dyDescent="0.25">
      <c r="B30" s="22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9"/>
      <c r="Q30" s="23"/>
      <c r="R30" s="3"/>
    </row>
    <row r="31" spans="2:18" x14ac:dyDescent="0.25">
      <c r="B31" s="22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9"/>
      <c r="Q31" s="23"/>
      <c r="R31" s="3"/>
    </row>
    <row r="32" spans="2:18" x14ac:dyDescent="0.25">
      <c r="B32" s="22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9"/>
      <c r="Q32" s="23"/>
      <c r="R32" s="3"/>
    </row>
    <row r="33" spans="2:18" x14ac:dyDescent="0.25">
      <c r="B33" s="22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9"/>
      <c r="Q33" s="23"/>
      <c r="R33" s="3"/>
    </row>
    <row r="34" spans="2:18" x14ac:dyDescent="0.25">
      <c r="B34" s="2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9"/>
      <c r="Q34" s="23"/>
      <c r="R34" s="3"/>
    </row>
    <row r="35" spans="2:18" x14ac:dyDescent="0.25">
      <c r="B35" s="2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9"/>
      <c r="Q35" s="23"/>
      <c r="R35" s="3"/>
    </row>
    <row r="36" spans="2:18" x14ac:dyDescent="0.25">
      <c r="B36" s="2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9"/>
      <c r="Q36" s="23"/>
      <c r="R36" s="3"/>
    </row>
    <row r="37" spans="2:18" x14ac:dyDescent="0.25">
      <c r="B37" s="2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9"/>
      <c r="Q37" s="23"/>
      <c r="R37" s="3"/>
    </row>
    <row r="38" spans="2:18" x14ac:dyDescent="0.25">
      <c r="B38" s="2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9"/>
      <c r="Q38" s="23"/>
      <c r="R38" s="3"/>
    </row>
    <row r="39" spans="2:18" x14ac:dyDescent="0.25">
      <c r="B39" s="2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9"/>
      <c r="Q39" s="23"/>
      <c r="R39" s="3"/>
    </row>
    <row r="40" spans="2:18" x14ac:dyDescent="0.25">
      <c r="B40" s="2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9"/>
      <c r="Q40" s="23"/>
      <c r="R40" s="3"/>
    </row>
    <row r="41" spans="2:18" x14ac:dyDescent="0.25">
      <c r="B41" s="2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9"/>
      <c r="Q41" s="23"/>
      <c r="R41" s="3"/>
    </row>
    <row r="42" spans="2:18" x14ac:dyDescent="0.25">
      <c r="B42" s="2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9"/>
      <c r="Q42" s="23"/>
      <c r="R42" s="3"/>
    </row>
    <row r="43" spans="2:18" x14ac:dyDescent="0.25">
      <c r="B43" s="2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9"/>
      <c r="Q43" s="23"/>
      <c r="R43" s="3"/>
    </row>
    <row r="44" spans="2:18" x14ac:dyDescent="0.25">
      <c r="B44" s="2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9"/>
      <c r="Q44" s="23"/>
      <c r="R44" s="3"/>
    </row>
    <row r="45" spans="2:18" x14ac:dyDescent="0.25">
      <c r="B45" s="2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9"/>
      <c r="Q45" s="23"/>
      <c r="R45" s="3"/>
    </row>
    <row r="46" spans="2:18" x14ac:dyDescent="0.25">
      <c r="B46" s="22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9"/>
      <c r="Q46" s="23"/>
      <c r="R46" s="3"/>
    </row>
    <row r="47" spans="2:18" x14ac:dyDescent="0.25">
      <c r="B47" s="22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9"/>
      <c r="Q47" s="23"/>
      <c r="R47" s="3"/>
    </row>
    <row r="48" spans="2:18" x14ac:dyDescent="0.25">
      <c r="B48" s="22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9"/>
      <c r="Q48" s="23"/>
      <c r="R48" s="3"/>
    </row>
    <row r="49" spans="2:18" x14ac:dyDescent="0.25">
      <c r="B49" s="22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9"/>
      <c r="Q49" s="23"/>
      <c r="R49" s="3"/>
    </row>
    <row r="50" spans="2:18" x14ac:dyDescent="0.25">
      <c r="B50" s="22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9"/>
      <c r="Q50" s="23"/>
      <c r="R50" s="3"/>
    </row>
  </sheetData>
  <mergeCells count="1">
    <mergeCell ref="F1:H1"/>
  </mergeCells>
  <phoneticPr fontId="1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190500</xdr:colOff>
                <xdr:row>0</xdr:row>
                <xdr:rowOff>123825</xdr:rowOff>
              </from>
              <to>
                <xdr:col>4</xdr:col>
                <xdr:colOff>133350</xdr:colOff>
                <xdr:row>0</xdr:row>
                <xdr:rowOff>809625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F82"/>
  <sheetViews>
    <sheetView zoomScale="92" workbookViewId="0">
      <selection activeCell="A13" sqref="A13"/>
    </sheetView>
  </sheetViews>
  <sheetFormatPr defaultColWidth="32.7109375" defaultRowHeight="15" x14ac:dyDescent="0.25"/>
  <cols>
    <col min="5" max="5" width="15.28515625" customWidth="1"/>
    <col min="6" max="6" width="16.85546875" customWidth="1"/>
  </cols>
  <sheetData>
    <row r="1" spans="1:6" ht="63" customHeight="1" x14ac:dyDescent="0.25"/>
    <row r="2" spans="1:6" x14ac:dyDescent="0.25">
      <c r="A2" s="7" t="s">
        <v>9</v>
      </c>
      <c r="B2" s="8" t="s">
        <v>10</v>
      </c>
      <c r="C2" s="8" t="s">
        <v>17</v>
      </c>
      <c r="D2" s="8" t="s">
        <v>18</v>
      </c>
      <c r="E2" s="8" t="s">
        <v>19</v>
      </c>
      <c r="F2" s="8" t="s">
        <v>20</v>
      </c>
    </row>
    <row r="3" spans="1:6" hidden="1" x14ac:dyDescent="0.25">
      <c r="A3" t="s">
        <v>62</v>
      </c>
    </row>
    <row r="4" spans="1:6" hidden="1" x14ac:dyDescent="0.25">
      <c r="A4" t="s">
        <v>63</v>
      </c>
      <c r="B4" t="s">
        <v>16</v>
      </c>
      <c r="F4">
        <v>-56018.48</v>
      </c>
    </row>
    <row r="5" spans="1:6" hidden="1" x14ac:dyDescent="0.25">
      <c r="A5" t="s">
        <v>64</v>
      </c>
      <c r="B5" t="s">
        <v>42</v>
      </c>
    </row>
    <row r="6" spans="1:6" hidden="1" x14ac:dyDescent="0.25">
      <c r="A6" t="s">
        <v>65</v>
      </c>
      <c r="B6" t="s">
        <v>42</v>
      </c>
    </row>
    <row r="7" spans="1:6" hidden="1" x14ac:dyDescent="0.25">
      <c r="A7" t="s">
        <v>66</v>
      </c>
      <c r="B7" t="s">
        <v>42</v>
      </c>
    </row>
    <row r="8" spans="1:6" hidden="1" x14ac:dyDescent="0.25">
      <c r="A8" t="s">
        <v>67</v>
      </c>
      <c r="B8" t="s">
        <v>13</v>
      </c>
    </row>
    <row r="9" spans="1:6" hidden="1" x14ac:dyDescent="0.25">
      <c r="A9" t="s">
        <v>68</v>
      </c>
      <c r="B9" t="s">
        <v>16</v>
      </c>
    </row>
    <row r="10" spans="1:6" hidden="1" x14ac:dyDescent="0.25">
      <c r="A10" t="s">
        <v>69</v>
      </c>
      <c r="B10" t="s">
        <v>42</v>
      </c>
    </row>
    <row r="11" spans="1:6" hidden="1" x14ac:dyDescent="0.25">
      <c r="A11" t="s">
        <v>70</v>
      </c>
      <c r="B11" t="s">
        <v>16</v>
      </c>
    </row>
    <row r="12" spans="1:6" x14ac:dyDescent="0.25">
      <c r="A12" t="s">
        <v>71</v>
      </c>
      <c r="B12" t="s">
        <v>72</v>
      </c>
    </row>
    <row r="13" spans="1:6" x14ac:dyDescent="0.25">
      <c r="A13" t="s">
        <v>73</v>
      </c>
      <c r="B13" t="s">
        <v>72</v>
      </c>
    </row>
    <row r="14" spans="1:6" hidden="1" x14ac:dyDescent="0.25">
      <c r="A14" t="s">
        <v>74</v>
      </c>
      <c r="B14" t="s">
        <v>42</v>
      </c>
    </row>
    <row r="15" spans="1:6" hidden="1" x14ac:dyDescent="0.25">
      <c r="A15" t="s">
        <v>75</v>
      </c>
      <c r="B15" t="s">
        <v>42</v>
      </c>
    </row>
    <row r="16" spans="1:6" hidden="1" x14ac:dyDescent="0.25">
      <c r="A16" t="s">
        <v>76</v>
      </c>
      <c r="B16" t="s">
        <v>42</v>
      </c>
    </row>
    <row r="17" spans="1:2" hidden="1" x14ac:dyDescent="0.25">
      <c r="A17" t="s">
        <v>77</v>
      </c>
      <c r="B17" t="s">
        <v>42</v>
      </c>
    </row>
    <row r="18" spans="1:2" hidden="1" x14ac:dyDescent="0.25">
      <c r="A18" t="s">
        <v>78</v>
      </c>
      <c r="B18" t="s">
        <v>42</v>
      </c>
    </row>
    <row r="19" spans="1:2" hidden="1" x14ac:dyDescent="0.25">
      <c r="A19" t="s">
        <v>79</v>
      </c>
      <c r="B19" t="s">
        <v>42</v>
      </c>
    </row>
    <row r="20" spans="1:2" hidden="1" x14ac:dyDescent="0.25">
      <c r="A20" t="s">
        <v>80</v>
      </c>
      <c r="B20" t="s">
        <v>42</v>
      </c>
    </row>
    <row r="21" spans="1:2" hidden="1" x14ac:dyDescent="0.25">
      <c r="A21" t="s">
        <v>81</v>
      </c>
      <c r="B21" t="s">
        <v>42</v>
      </c>
    </row>
    <row r="22" spans="1:2" hidden="1" x14ac:dyDescent="0.25">
      <c r="A22" t="s">
        <v>82</v>
      </c>
      <c r="B22" t="s">
        <v>42</v>
      </c>
    </row>
    <row r="23" spans="1:2" hidden="1" x14ac:dyDescent="0.25">
      <c r="A23" t="s">
        <v>83</v>
      </c>
      <c r="B23" t="s">
        <v>42</v>
      </c>
    </row>
    <row r="24" spans="1:2" x14ac:dyDescent="0.25">
      <c r="A24" t="s">
        <v>84</v>
      </c>
      <c r="B24" t="s">
        <v>72</v>
      </c>
    </row>
    <row r="25" spans="1:2" x14ac:dyDescent="0.25">
      <c r="A25" t="s">
        <v>121</v>
      </c>
      <c r="B25" t="s">
        <v>72</v>
      </c>
    </row>
    <row r="26" spans="1:2" hidden="1" x14ac:dyDescent="0.25">
      <c r="A26" t="s">
        <v>85</v>
      </c>
      <c r="B26" t="s">
        <v>42</v>
      </c>
    </row>
    <row r="27" spans="1:2" hidden="1" x14ac:dyDescent="0.25">
      <c r="A27" t="s">
        <v>86</v>
      </c>
      <c r="B27" t="s">
        <v>42</v>
      </c>
    </row>
    <row r="28" spans="1:2" hidden="1" x14ac:dyDescent="0.25">
      <c r="A28" t="s">
        <v>87</v>
      </c>
      <c r="B28" t="s">
        <v>42</v>
      </c>
    </row>
    <row r="29" spans="1:2" hidden="1" x14ac:dyDescent="0.25">
      <c r="A29" t="s">
        <v>88</v>
      </c>
      <c r="B29" t="s">
        <v>42</v>
      </c>
    </row>
    <row r="30" spans="1:2" hidden="1" x14ac:dyDescent="0.25">
      <c r="A30" t="s">
        <v>89</v>
      </c>
      <c r="B30" t="s">
        <v>42</v>
      </c>
    </row>
    <row r="31" spans="1:2" hidden="1" x14ac:dyDescent="0.25">
      <c r="A31" t="s">
        <v>90</v>
      </c>
      <c r="B31" t="s">
        <v>42</v>
      </c>
    </row>
    <row r="32" spans="1:2" hidden="1" x14ac:dyDescent="0.25">
      <c r="A32" t="s">
        <v>91</v>
      </c>
      <c r="B32" t="s">
        <v>42</v>
      </c>
    </row>
    <row r="33" spans="1:6" hidden="1" x14ac:dyDescent="0.25">
      <c r="A33" t="s">
        <v>92</v>
      </c>
      <c r="B33" t="s">
        <v>42</v>
      </c>
    </row>
    <row r="34" spans="1:6" hidden="1" x14ac:dyDescent="0.25">
      <c r="A34" t="s">
        <v>93</v>
      </c>
      <c r="B34" t="s">
        <v>42</v>
      </c>
    </row>
    <row r="35" spans="1:6" hidden="1" x14ac:dyDescent="0.25">
      <c r="A35" t="s">
        <v>94</v>
      </c>
      <c r="B35" t="s">
        <v>42</v>
      </c>
    </row>
    <row r="36" spans="1:6" hidden="1" x14ac:dyDescent="0.25">
      <c r="A36" t="s">
        <v>55</v>
      </c>
      <c r="B36" t="s">
        <v>42</v>
      </c>
      <c r="E36" t="s">
        <v>98</v>
      </c>
    </row>
    <row r="37" spans="1:6" hidden="1" x14ac:dyDescent="0.25">
      <c r="A37" t="s">
        <v>95</v>
      </c>
      <c r="B37" t="s">
        <v>42</v>
      </c>
      <c r="C37" t="s">
        <v>96</v>
      </c>
      <c r="D37" t="s">
        <v>97</v>
      </c>
      <c r="E37" t="s">
        <v>98</v>
      </c>
      <c r="F37">
        <v>-100</v>
      </c>
    </row>
    <row r="38" spans="1:6" hidden="1" x14ac:dyDescent="0.25">
      <c r="A38" t="s">
        <v>54</v>
      </c>
      <c r="B38" t="s">
        <v>32</v>
      </c>
    </row>
    <row r="39" spans="1:6" hidden="1" x14ac:dyDescent="0.25">
      <c r="A39" t="s">
        <v>99</v>
      </c>
      <c r="B39" t="s">
        <v>42</v>
      </c>
    </row>
    <row r="40" spans="1:6" hidden="1" x14ac:dyDescent="0.25">
      <c r="A40" t="s">
        <v>100</v>
      </c>
      <c r="B40" t="s">
        <v>42</v>
      </c>
    </row>
    <row r="41" spans="1:6" hidden="1" x14ac:dyDescent="0.25">
      <c r="A41" t="s">
        <v>101</v>
      </c>
      <c r="B41" t="s">
        <v>42</v>
      </c>
    </row>
    <row r="42" spans="1:6" hidden="1" x14ac:dyDescent="0.25">
      <c r="A42" t="s">
        <v>102</v>
      </c>
      <c r="B42" t="s">
        <v>42</v>
      </c>
    </row>
    <row r="43" spans="1:6" hidden="1" x14ac:dyDescent="0.25">
      <c r="A43" t="s">
        <v>103</v>
      </c>
      <c r="B43" t="s">
        <v>42</v>
      </c>
    </row>
    <row r="44" spans="1:6" hidden="1" x14ac:dyDescent="0.25">
      <c r="A44" t="s">
        <v>104</v>
      </c>
      <c r="B44" t="s">
        <v>42</v>
      </c>
    </row>
    <row r="45" spans="1:6" hidden="1" x14ac:dyDescent="0.25">
      <c r="A45" t="s">
        <v>105</v>
      </c>
      <c r="B45" t="s">
        <v>42</v>
      </c>
    </row>
    <row r="46" spans="1:6" hidden="1" x14ac:dyDescent="0.25">
      <c r="A46" t="s">
        <v>106</v>
      </c>
      <c r="B46" t="s">
        <v>33</v>
      </c>
    </row>
    <row r="47" spans="1:6" x14ac:dyDescent="0.25">
      <c r="A47" t="s">
        <v>107</v>
      </c>
      <c r="B47" t="s">
        <v>72</v>
      </c>
    </row>
    <row r="48" spans="1:6" x14ac:dyDescent="0.25">
      <c r="A48" t="s">
        <v>122</v>
      </c>
      <c r="B48" t="s">
        <v>72</v>
      </c>
    </row>
    <row r="49" spans="1:2" hidden="1" x14ac:dyDescent="0.25">
      <c r="A49" t="s">
        <v>108</v>
      </c>
      <c r="B49" t="s">
        <v>42</v>
      </c>
    </row>
    <row r="50" spans="1:2" hidden="1" x14ac:dyDescent="0.25">
      <c r="A50" t="s">
        <v>109</v>
      </c>
      <c r="B50" t="s">
        <v>42</v>
      </c>
    </row>
    <row r="51" spans="1:2" hidden="1" x14ac:dyDescent="0.25">
      <c r="A51" t="s">
        <v>110</v>
      </c>
      <c r="B51" t="s">
        <v>42</v>
      </c>
    </row>
    <row r="52" spans="1:2" hidden="1" x14ac:dyDescent="0.25">
      <c r="A52" t="s">
        <v>111</v>
      </c>
      <c r="B52" t="s">
        <v>42</v>
      </c>
    </row>
    <row r="53" spans="1:2" hidden="1" x14ac:dyDescent="0.25">
      <c r="A53" t="s">
        <v>112</v>
      </c>
      <c r="B53" t="s">
        <v>42</v>
      </c>
    </row>
    <row r="54" spans="1:2" hidden="1" x14ac:dyDescent="0.25">
      <c r="A54" t="s">
        <v>113</v>
      </c>
      <c r="B54" t="s">
        <v>42</v>
      </c>
    </row>
    <row r="55" spans="1:2" hidden="1" x14ac:dyDescent="0.25">
      <c r="A55" t="s">
        <v>114</v>
      </c>
      <c r="B55" t="s">
        <v>42</v>
      </c>
    </row>
    <row r="56" spans="1:2" hidden="1" x14ac:dyDescent="0.25">
      <c r="A56" t="s">
        <v>115</v>
      </c>
      <c r="B56" t="s">
        <v>42</v>
      </c>
    </row>
    <row r="57" spans="1:2" hidden="1" x14ac:dyDescent="0.25">
      <c r="A57" t="s">
        <v>116</v>
      </c>
      <c r="B57" t="s">
        <v>42</v>
      </c>
    </row>
    <row r="58" spans="1:2" hidden="1" x14ac:dyDescent="0.25">
      <c r="A58" t="s">
        <v>117</v>
      </c>
      <c r="B58" t="s">
        <v>42</v>
      </c>
    </row>
    <row r="59" spans="1:2" hidden="1" x14ac:dyDescent="0.25">
      <c r="A59" t="s">
        <v>118</v>
      </c>
      <c r="B59" t="s">
        <v>42</v>
      </c>
    </row>
    <row r="60" spans="1:2" hidden="1" x14ac:dyDescent="0.25">
      <c r="A60" t="s">
        <v>119</v>
      </c>
      <c r="B60" t="s">
        <v>42</v>
      </c>
    </row>
    <row r="61" spans="1:2" hidden="1" x14ac:dyDescent="0.25">
      <c r="A61" t="s">
        <v>120</v>
      </c>
      <c r="B61" t="s">
        <v>42</v>
      </c>
    </row>
    <row r="62" spans="1:2" hidden="1" x14ac:dyDescent="0.25"/>
    <row r="63" spans="1:2" hidden="1" x14ac:dyDescent="0.25"/>
    <row r="64" spans="1:2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</sheetData>
  <autoFilter ref="A2:F82" xr:uid="{00000000-0001-0000-0100-000000000000}">
    <filterColumn colId="1">
      <filters>
        <filter val="Duties &amp; Taxes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topLeftCell="N1" workbookViewId="0">
      <selection activeCell="V8" sqref="V8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7" t="s">
        <v>47</v>
      </c>
    </row>
    <row r="2" spans="1:1" x14ac:dyDescent="0.25">
      <c r="A2" s="2" t="s">
        <v>21</v>
      </c>
    </row>
    <row r="3" spans="1:1" x14ac:dyDescent="0.25">
      <c r="A3" s="2" t="s">
        <v>15</v>
      </c>
    </row>
    <row r="4" spans="1:1" x14ac:dyDescent="0.25">
      <c r="A4" s="2" t="s">
        <v>22</v>
      </c>
    </row>
    <row r="5" spans="1:1" x14ac:dyDescent="0.25">
      <c r="A5" s="2" t="s">
        <v>23</v>
      </c>
    </row>
    <row r="6" spans="1:1" x14ac:dyDescent="0.25">
      <c r="A6" s="2" t="s">
        <v>24</v>
      </c>
    </row>
    <row r="7" spans="1:1" x14ac:dyDescent="0.25">
      <c r="A7" s="2" t="s">
        <v>25</v>
      </c>
    </row>
    <row r="8" spans="1:1" x14ac:dyDescent="0.25">
      <c r="A8" s="2" t="s">
        <v>26</v>
      </c>
    </row>
    <row r="9" spans="1:1" x14ac:dyDescent="0.25">
      <c r="A9" s="2" t="s">
        <v>27</v>
      </c>
    </row>
    <row r="10" spans="1:1" x14ac:dyDescent="0.25">
      <c r="A10" s="2" t="s">
        <v>28</v>
      </c>
    </row>
    <row r="11" spans="1:1" x14ac:dyDescent="0.25">
      <c r="A11" s="2" t="s">
        <v>29</v>
      </c>
    </row>
    <row r="12" spans="1:1" x14ac:dyDescent="0.25">
      <c r="A12" s="2" t="s">
        <v>30</v>
      </c>
    </row>
    <row r="13" spans="1:1" x14ac:dyDescent="0.25">
      <c r="A13" s="2" t="s">
        <v>31</v>
      </c>
    </row>
    <row r="14" spans="1:1" x14ac:dyDescent="0.25">
      <c r="A14" s="2" t="s">
        <v>32</v>
      </c>
    </row>
    <row r="15" spans="1:1" x14ac:dyDescent="0.25">
      <c r="A15" s="2" t="s">
        <v>33</v>
      </c>
    </row>
    <row r="16" spans="1:1" x14ac:dyDescent="0.25">
      <c r="A16" s="2" t="s">
        <v>34</v>
      </c>
    </row>
    <row r="17" spans="1:1" x14ac:dyDescent="0.25">
      <c r="A17" s="2" t="s">
        <v>16</v>
      </c>
    </row>
    <row r="18" spans="1:1" x14ac:dyDescent="0.25">
      <c r="A18" s="2" t="s">
        <v>35</v>
      </c>
    </row>
    <row r="19" spans="1:1" x14ac:dyDescent="0.25">
      <c r="A19" s="2" t="s">
        <v>13</v>
      </c>
    </row>
    <row r="20" spans="1:1" x14ac:dyDescent="0.25">
      <c r="A20" s="2" t="s">
        <v>36</v>
      </c>
    </row>
    <row r="21" spans="1:1" x14ac:dyDescent="0.25">
      <c r="A21" s="2" t="s">
        <v>14</v>
      </c>
    </row>
    <row r="22" spans="1:1" x14ac:dyDescent="0.25">
      <c r="A22" s="2" t="s">
        <v>37</v>
      </c>
    </row>
    <row r="23" spans="1:1" x14ac:dyDescent="0.25">
      <c r="A23" s="2" t="s">
        <v>38</v>
      </c>
    </row>
    <row r="24" spans="1:1" x14ac:dyDescent="0.25">
      <c r="A24" s="2" t="s">
        <v>39</v>
      </c>
    </row>
    <row r="25" spans="1:1" x14ac:dyDescent="0.25">
      <c r="A25" s="2" t="s">
        <v>40</v>
      </c>
    </row>
    <row r="26" spans="1:1" x14ac:dyDescent="0.25">
      <c r="A26" s="2" t="s">
        <v>41</v>
      </c>
    </row>
    <row r="27" spans="1:1" x14ac:dyDescent="0.25">
      <c r="A27" s="2" t="s">
        <v>42</v>
      </c>
    </row>
    <row r="28" spans="1:1" x14ac:dyDescent="0.25">
      <c r="A28" s="2" t="s">
        <v>12</v>
      </c>
    </row>
    <row r="29" spans="1:1" x14ac:dyDescent="0.25">
      <c r="A29" s="2" t="s">
        <v>43</v>
      </c>
    </row>
    <row r="30" spans="1:1" x14ac:dyDescent="0.25">
      <c r="A30" s="2" t="s">
        <v>11</v>
      </c>
    </row>
    <row r="31" spans="1:1" x14ac:dyDescent="0.25">
      <c r="A31" s="2" t="s">
        <v>16</v>
      </c>
    </row>
    <row r="32" spans="1:1" x14ac:dyDescent="0.25">
      <c r="A32" s="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"/>
  <sheetViews>
    <sheetView workbookViewId="0">
      <selection sqref="A1:D1"/>
    </sheetView>
  </sheetViews>
  <sheetFormatPr defaultRowHeight="15" x14ac:dyDescent="0.25"/>
  <cols>
    <col min="1" max="1" width="17.85546875" bestFit="1" customWidth="1"/>
    <col min="2" max="3" width="10.42578125" bestFit="1" customWidth="1"/>
  </cols>
  <sheetData>
    <row r="1" spans="1:4" x14ac:dyDescent="0.25">
      <c r="A1" s="10"/>
      <c r="B1" s="6"/>
      <c r="C1" s="6"/>
      <c r="D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Purchase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Bhoomi Vig</cp:lastModifiedBy>
  <dcterms:created xsi:type="dcterms:W3CDTF">2024-08-17T14:05:14Z</dcterms:created>
  <dcterms:modified xsi:type="dcterms:W3CDTF">2025-03-13T04:55:09Z</dcterms:modified>
</cp:coreProperties>
</file>